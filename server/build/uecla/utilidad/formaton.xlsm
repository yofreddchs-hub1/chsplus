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igos\2024\libertadores\public\utilidad\"/>
    </mc:Choice>
  </mc:AlternateContent>
  <xr:revisionPtr revIDLastSave="0" documentId="13_ncr:1_{94566C48-9323-4232-AACD-E9AAC38F401F}" xr6:coauthVersionLast="47" xr6:coauthVersionMax="47" xr10:uidLastSave="{00000000-0000-0000-0000-000000000000}"/>
  <bookViews>
    <workbookView minimized="1" xWindow="24912" yWindow="1068" windowWidth="20172" windowHeight="11892" xr2:uid="{FD052E50-6F3D-4FF0-ACEB-7588CFE86D59}"/>
  </bookViews>
  <sheets>
    <sheet name="macro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17" i="1" l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AJ17" i="1"/>
  <c r="AI17" i="1"/>
  <c r="AH17" i="1"/>
  <c r="AG17" i="1"/>
  <c r="AF17" i="1"/>
  <c r="AE17" i="1"/>
</calcChain>
</file>

<file path=xl/sharedStrings.xml><?xml version="1.0" encoding="utf-8"?>
<sst xmlns="http://schemas.openxmlformats.org/spreadsheetml/2006/main" count="458" uniqueCount="160">
  <si>
    <t/>
  </si>
  <si>
    <t>Fecha:</t>
  </si>
  <si>
    <t>U.E. COLEGIO LIBERTADORES DE AMERICA</t>
  </si>
  <si>
    <t>20/03/2024</t>
  </si>
  <si>
    <t>REPORTE</t>
  </si>
  <si>
    <t>DESDE: 20/03/2024 HASTA: 20/03/2024</t>
  </si>
  <si>
    <t>Cédula ó</t>
  </si>
  <si>
    <t>No.</t>
  </si>
  <si>
    <t>Factor</t>
  </si>
  <si>
    <t>Total en</t>
  </si>
  <si>
    <t>Formas</t>
  </si>
  <si>
    <t>de</t>
  </si>
  <si>
    <t>Pago</t>
  </si>
  <si>
    <t>Fecha</t>
  </si>
  <si>
    <t>Representante</t>
  </si>
  <si>
    <t>R.I.F.</t>
  </si>
  <si>
    <t>Recibo</t>
  </si>
  <si>
    <t>Estudiante</t>
  </si>
  <si>
    <t>Oct</t>
  </si>
  <si>
    <t>Nov</t>
  </si>
  <si>
    <t>Dic</t>
  </si>
  <si>
    <t>Ene</t>
  </si>
  <si>
    <t>Feb</t>
  </si>
  <si>
    <t>Mar</t>
  </si>
  <si>
    <t>Abr</t>
  </si>
  <si>
    <t>May</t>
  </si>
  <si>
    <t>Jun</t>
  </si>
  <si>
    <t>Jul</t>
  </si>
  <si>
    <t>Ago</t>
  </si>
  <si>
    <t>Referencia</t>
  </si>
  <si>
    <t>Apellidos</t>
  </si>
  <si>
    <t>Nombres</t>
  </si>
  <si>
    <t>Dirección</t>
  </si>
  <si>
    <t>Cedula</t>
  </si>
  <si>
    <t>Grado</t>
  </si>
  <si>
    <t>Sección</t>
  </si>
  <si>
    <t>Forma de Pago</t>
  </si>
  <si>
    <t>Monto</t>
  </si>
  <si>
    <t>Banco Origen</t>
  </si>
  <si>
    <t>Banco Destino</t>
  </si>
  <si>
    <t>Monto Particular</t>
  </si>
  <si>
    <t>Monto General</t>
  </si>
  <si>
    <t>01/11/2024</t>
  </si>
  <si>
    <t>11419</t>
  </si>
  <si>
    <t>16658400</t>
  </si>
  <si>
    <t>MARTINEZ RAMIREZ</t>
  </si>
  <si>
    <t>WEENA MARIA</t>
  </si>
  <si>
    <t>URB. VIRGEN MORENITA. CASA 39 INDEPENDENCIA SECTOR LA PAZ</t>
  </si>
  <si>
    <t>33616237</t>
  </si>
  <si>
    <t>MORENO MARTÍNEZ</t>
  </si>
  <si>
    <t>MARIA ALEJANDRA</t>
  </si>
  <si>
    <t>5to año</t>
  </si>
  <si>
    <t>C</t>
  </si>
  <si>
    <t>11418</t>
  </si>
  <si>
    <t>17629058</t>
  </si>
  <si>
    <t>PEREZ</t>
  </si>
  <si>
    <t>CARLOS ALBERTO</t>
  </si>
  <si>
    <t>LAS MARBELLAS CORO ESTADO FALCON</t>
  </si>
  <si>
    <t>34139462</t>
  </si>
  <si>
    <t>PÉREZ BARRIENTOS</t>
  </si>
  <si>
    <t>CARLA VICTORIA</t>
  </si>
  <si>
    <t>34139463</t>
  </si>
  <si>
    <t>PEREZ BARRIENTOS</t>
  </si>
  <si>
    <t>CARLOS ALEJANDRO</t>
  </si>
  <si>
    <t>2do año</t>
  </si>
  <si>
    <t>11417</t>
  </si>
  <si>
    <t>15095385</t>
  </si>
  <si>
    <t>MORILLO DE URIBE</t>
  </si>
  <si>
    <t>NORELIS DEL CARMEN</t>
  </si>
  <si>
    <t>URBANIZACIÓN MONSEÑOR ITURRIZA 3 ETAPA CALLE 16 CASA NRO 354</t>
  </si>
  <si>
    <t>34190133</t>
  </si>
  <si>
    <t>URIBE MORILLO</t>
  </si>
  <si>
    <t>GABRIELA VALENTINA</t>
  </si>
  <si>
    <t>B</t>
  </si>
  <si>
    <t>11416</t>
  </si>
  <si>
    <t>19252874</t>
  </si>
  <si>
    <t>ACACIO LÓPEZ</t>
  </si>
  <si>
    <t>INDHIRA JACQUELINE</t>
  </si>
  <si>
    <t>URBANIZACIÓN INDEPENDENCIA 1ERA ETAPA CALLE 4 CASA NRO 11</t>
  </si>
  <si>
    <t>11219252874</t>
  </si>
  <si>
    <t>LEAÑEZ ACACIO</t>
  </si>
  <si>
    <t>AVRIL CRISTINA</t>
  </si>
  <si>
    <t>1er año</t>
  </si>
  <si>
    <t>11415</t>
  </si>
  <si>
    <t>17103667</t>
  </si>
  <si>
    <t>PIÑA SAAVEDRA</t>
  </si>
  <si>
    <t>ESTER ELISABETH</t>
  </si>
  <si>
    <t>URB. FRANCISCO DE MIRANDA CALLE 3 MANZANA 11 CASA 06</t>
  </si>
  <si>
    <t>34247680</t>
  </si>
  <si>
    <t>PIÑA PIÑA</t>
  </si>
  <si>
    <t>JEANDDIEL SAMUEL</t>
  </si>
  <si>
    <t>11414</t>
  </si>
  <si>
    <t>15917301</t>
  </si>
  <si>
    <t>MUSETH CAMACARO</t>
  </si>
  <si>
    <t>EGLEARYS ESTHER</t>
  </si>
  <si>
    <t>URB. LAS EUGENIAS, CUARTA ETAPA CASA B-1438</t>
  </si>
  <si>
    <t>34679867</t>
  </si>
  <si>
    <t>QUINTERO MUSETH</t>
  </si>
  <si>
    <t>HENDRIX JOSE</t>
  </si>
  <si>
    <t>11413</t>
  </si>
  <si>
    <t>10874625</t>
  </si>
  <si>
    <t>CONTRERAS NIÑO</t>
  </si>
  <si>
    <t>ARACELIS DEL CARMEN</t>
  </si>
  <si>
    <t>URB. IGNACIO SARMIENTO CALLE PEDRO PENSO ENTRE RAUL FLORES Y CALLE 1 DE COIOBRENCO NUMERO 32</t>
  </si>
  <si>
    <t>34189679</t>
  </si>
  <si>
    <t>BRACHO GUZMAN</t>
  </si>
  <si>
    <t>DIONEL DE JESUS</t>
  </si>
  <si>
    <t>3er año</t>
  </si>
  <si>
    <t>Periodo</t>
  </si>
  <si>
    <t>Inscip.</t>
  </si>
  <si>
    <t>Sep</t>
  </si>
  <si>
    <t>11420</t>
  </si>
  <si>
    <t>10477481</t>
  </si>
  <si>
    <t>MOLINA</t>
  </si>
  <si>
    <t>ANTONIO JOSÉ</t>
  </si>
  <si>
    <t>CONJUNTO RESIDENCIAL LAS DELICIAS, CALLE C #76, PROLONGACION CALLE JULIO URREGO SECTOR LAS HUERTAS</t>
  </si>
  <si>
    <t>34077642</t>
  </si>
  <si>
    <t>MOLINA RUJANA</t>
  </si>
  <si>
    <t>PAOLA VALENTINA</t>
  </si>
  <si>
    <t>2024-2025</t>
  </si>
  <si>
    <t>2023-2024</t>
  </si>
  <si>
    <t>Meses</t>
  </si>
  <si>
    <t>Mensualidad</t>
  </si>
  <si>
    <t>Abono Aterior</t>
  </si>
  <si>
    <t>Abono</t>
  </si>
  <si>
    <t>Diferido</t>
  </si>
  <si>
    <t>11421</t>
  </si>
  <si>
    <t>21113059</t>
  </si>
  <si>
    <t>ANGULO ISEA</t>
  </si>
  <si>
    <t>ALEX GREGORIO</t>
  </si>
  <si>
    <t xml:space="preserve">CALLE ROMULO GALLGOS ENTRE RAUL LEONIS Y LAS MERCEDES </t>
  </si>
  <si>
    <t>34549259</t>
  </si>
  <si>
    <t>ANGULO YANSEN</t>
  </si>
  <si>
    <t>ALEXANDER SAUL</t>
  </si>
  <si>
    <t>Efectivo Dolar</t>
  </si>
  <si>
    <t>MK22668051A 6040B 1256B</t>
  </si>
  <si>
    <t>Zelle</t>
  </si>
  <si>
    <t>31/10/2024</t>
  </si>
  <si>
    <t>BBT266348465</t>
  </si>
  <si>
    <t>PP0Y6FNHYB</t>
  </si>
  <si>
    <t>Transferencia, Transferencia</t>
  </si>
  <si>
    <t>25/10/2024, 25/10/2024</t>
  </si>
  <si>
    <t>672829441951, 42999118200</t>
  </si>
  <si>
    <t xml:space="preserve">BANCO DE VENEZUELA , BANESCO BANCO UNIVERSAL </t>
  </si>
  <si>
    <t>Transferencia</t>
  </si>
  <si>
    <t>30/10/2024</t>
  </si>
  <si>
    <t>65710752</t>
  </si>
  <si>
    <t xml:space="preserve">BANCO PROVINCIAL BBVA </t>
  </si>
  <si>
    <t xml:space="preserve">BANESCO BANCO UNIVERSAL </t>
  </si>
  <si>
    <t>Pago Móvil</t>
  </si>
  <si>
    <t>29/10/2024</t>
  </si>
  <si>
    <t>674615</t>
  </si>
  <si>
    <t xml:space="preserve">BANCAMIGA BANCO MICROFINANCIERO, C.A. </t>
  </si>
  <si>
    <t>15/10/2024</t>
  </si>
  <si>
    <t>103580686</t>
  </si>
  <si>
    <t xml:space="preserve">BANCO DE VENEZUELA </t>
  </si>
  <si>
    <t>Debito</t>
  </si>
  <si>
    <t>935976</t>
  </si>
  <si>
    <t>385609</t>
  </si>
  <si>
    <t xml:space="preserve">BANCO BICENTENARIO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</si>
</sst>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Bs.S&quot;#,##0.00"/>
    <numFmt numFmtId="165" formatCode="[$$-540A]#,##0.00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Arial Black"/>
      <family val="2"/>
    </font>
    <font>
      <u/>
      <sz val="11"/>
      <color theme="0"/>
      <name val="Arial Black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0" fillId="0" borderId="7" xfId="0" applyBorder="1"/>
    <xf numFmtId="0" fontId="0" fillId="0" borderId="4" xfId="0" applyBorder="1"/>
    <xf numFmtId="2" fontId="0" fillId="0" borderId="7" xfId="0" applyNumberFormat="1" applyBorder="1"/>
    <xf numFmtId="2" fontId="0" fillId="0" borderId="4" xfId="0" applyNumberFormat="1" applyBorder="1"/>
    <xf numFmtId="0" fontId="1" fillId="2" borderId="6" xfId="0" applyFont="1" applyFill="1" applyBorder="1" applyAlignment="1">
      <alignment horizontal="center" vertical="center"/>
    </xf>
    <xf numFmtId="164" fontId="0" fillId="0" borderId="9" xfId="0" applyNumberFormat="1" applyBorder="1"/>
    <xf numFmtId="164" fontId="0" fillId="0" borderId="8" xfId="0" applyNumberFormat="1" applyBorder="1"/>
    <xf numFmtId="2" fontId="0" fillId="0" borderId="0" xfId="0" applyNumberFormat="1"/>
    <xf numFmtId="0" fontId="0" fillId="0" borderId="4" xfId="0" applyBorder="1" applyAlignment="1">
      <alignment wrapText="1"/>
    </xf>
    <xf numFmtId="165" fontId="0" fillId="0" borderId="0" xfId="0" applyNumberFormat="1"/>
    <xf numFmtId="164" fontId="0" fillId="0" borderId="0" xfId="0" applyNumberFormat="1"/>
    <xf numFmtId="0" fontId="1" fillId="2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</cellXfs>
  <cellStyles count="1">
    <cellStyle name="Normal" xfId="0" builtinId="0"/>
  </cellStyles>
  <dxfs count="3">
    <dxf>
      <font>
        <color theme="0" tint="-4.9989318521683403E-2"/>
      </font>
      <fill>
        <patternFill>
          <fgColor indexed="64"/>
          <bgColor rgb="FFFFC000"/>
        </patternFill>
      </fill>
    </dxf>
    <dxf>
      <font>
        <color theme="0" tint="-4.9989318521683403E-2"/>
      </font>
      <fill>
        <patternFill>
          <fgColor indexed="64"/>
          <bgColor rgb="FFFFC000"/>
        </patternFill>
      </fill>
    </dxf>
    <dxf>
      <font>
        <color theme="0" tint="-4.9989318521683403E-2"/>
      </font>
      <fill>
        <patternFill>
          <fgColor indexed="64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EE7F9-FB4B-4334-8A3C-DE5631B68447}">
  <sheetPr codeName="Hoja1"/>
  <dimension ref="A1:AV31"/>
  <sheetViews>
    <sheetView tabSelected="1" topLeftCell="M1" workbookViewId="0">
      <selection activeCell="M5" sqref="M5:Z5"/>
    </sheetView>
  </sheetViews>
  <sheetFormatPr baseColWidth="10" defaultRowHeight="15" x14ac:dyDescent="0.25"/>
  <cols>
    <col min="1" max="1" width="5.28515625" bestFit="1" customWidth="1"/>
    <col min="2" max="2" width="10.85546875" bestFit="1" customWidth="1"/>
    <col min="3" max="3" width="9.42578125" bestFit="1" customWidth="1"/>
    <col min="4" max="4" width="11.5703125" bestFit="1" customWidth="1"/>
    <col min="5" max="5" width="19.28515625" bestFit="1" customWidth="1"/>
    <col min="6" max="6" width="21.28515625" bestFit="1" customWidth="1"/>
    <col min="7" max="7" width="97.140625" bestFit="1" customWidth="1"/>
    <col min="8" max="8" width="14" bestFit="1" customWidth="1"/>
    <col min="9" max="9" width="18.85546875" bestFit="1" customWidth="1"/>
    <col min="10" max="10" width="20.28515625" bestFit="1" customWidth="1"/>
    <col min="11" max="11" width="8.42578125" bestFit="1" customWidth="1"/>
    <col min="12" max="12" width="10.7109375" bestFit="1" customWidth="1"/>
    <col min="13" max="13" width="10.28515625" bestFit="1" customWidth="1"/>
    <col min="14" max="14" width="9.140625" bestFit="1" customWidth="1"/>
    <col min="15" max="15" width="11.7109375" bestFit="1" customWidth="1"/>
    <col min="16" max="16" width="12.7109375" bestFit="1" customWidth="1"/>
    <col min="17" max="20" width="11.7109375" bestFit="1" customWidth="1"/>
    <col min="21" max="22" width="12.7109375" bestFit="1" customWidth="1"/>
    <col min="23" max="24" width="11.7109375" bestFit="1" customWidth="1"/>
    <col min="27" max="27" width="26.42578125" bestFit="1" customWidth="1"/>
    <col min="29" max="29" width="25.85546875" bestFit="1" customWidth="1"/>
    <col min="30" max="30" width="12.5703125" customWidth="1"/>
    <col min="31" max="32" width="49.140625" bestFit="1" customWidth="1"/>
    <col min="34" max="34" width="11.7109375" bestFit="1" customWidth="1"/>
    <col min="36" max="36" width="11.7109375" bestFit="1" customWidth="1"/>
    <col min="37" max="37" width="7.7109375" bestFit="1" customWidth="1"/>
  </cols>
  <sheetData>
    <row r="1" spans="1:48" x14ac:dyDescent="0.25">
      <c r="A1" t="s">
        <v>0</v>
      </c>
      <c r="B1" t="s">
        <v>1</v>
      </c>
      <c r="C1" s="17" t="s">
        <v>2</v>
      </c>
      <c r="D1" s="17"/>
      <c r="E1" s="17"/>
      <c r="F1" s="17"/>
      <c r="G1" t="s">
        <v>0</v>
      </c>
      <c r="H1" t="s">
        <v>0</v>
      </c>
      <c r="I1" t="s">
        <v>0</v>
      </c>
      <c r="J1" t="s">
        <v>0</v>
      </c>
      <c r="K1" t="s">
        <v>0</v>
      </c>
      <c r="L1" t="s">
        <v>0</v>
      </c>
      <c r="M1" t="s">
        <v>0</v>
      </c>
      <c r="N1" t="s">
        <v>0</v>
      </c>
      <c r="O1" t="s">
        <v>0</v>
      </c>
      <c r="P1" t="s">
        <v>0</v>
      </c>
      <c r="Q1" t="s">
        <v>0</v>
      </c>
      <c r="R1" t="s">
        <v>0</v>
      </c>
      <c r="S1" t="s">
        <v>0</v>
      </c>
      <c r="T1" t="s">
        <v>0</v>
      </c>
      <c r="U1" t="s">
        <v>0</v>
      </c>
      <c r="V1" t="s">
        <v>0</v>
      </c>
      <c r="W1" t="s">
        <v>0</v>
      </c>
      <c r="X1" t="s">
        <v>0</v>
      </c>
      <c r="Y1" t="s">
        <v>0</v>
      </c>
      <c r="Z1" t="s">
        <v>0</v>
      </c>
      <c r="AA1" t="s">
        <v>0</v>
      </c>
      <c r="AB1" t="s">
        <v>0</v>
      </c>
      <c r="AC1" t="s">
        <v>0</v>
      </c>
      <c r="AD1" t="s">
        <v>0</v>
      </c>
      <c r="AE1" t="s">
        <v>0</v>
      </c>
      <c r="AF1" t="s">
        <v>0</v>
      </c>
      <c r="AG1" t="s">
        <v>0</v>
      </c>
      <c r="AH1" t="s">
        <v>0</v>
      </c>
      <c r="AI1" t="s">
        <v>0</v>
      </c>
      <c r="AJ1" t="s">
        <v>0</v>
      </c>
      <c r="AK1" t="s">
        <v>0</v>
      </c>
    </row>
    <row r="2" spans="1:48" x14ac:dyDescent="0.25">
      <c r="A2" t="s">
        <v>0</v>
      </c>
      <c r="B2" t="s">
        <v>3</v>
      </c>
      <c r="C2" s="17" t="s">
        <v>4</v>
      </c>
      <c r="D2" s="17"/>
      <c r="E2" s="17"/>
      <c r="F2" s="17"/>
      <c r="G2" t="s">
        <v>0</v>
      </c>
      <c r="H2" t="s">
        <v>0</v>
      </c>
      <c r="I2" t="s">
        <v>0</v>
      </c>
      <c r="J2" t="s">
        <v>0</v>
      </c>
      <c r="K2" t="s">
        <v>0</v>
      </c>
      <c r="L2" t="s">
        <v>0</v>
      </c>
      <c r="M2" t="s">
        <v>0</v>
      </c>
      <c r="N2" t="s">
        <v>0</v>
      </c>
      <c r="O2" t="s">
        <v>0</v>
      </c>
      <c r="P2" t="s">
        <v>0</v>
      </c>
      <c r="Q2" t="s">
        <v>0</v>
      </c>
      <c r="R2" t="s">
        <v>0</v>
      </c>
      <c r="S2" t="s">
        <v>0</v>
      </c>
      <c r="T2" t="s">
        <v>0</v>
      </c>
      <c r="U2" t="s">
        <v>0</v>
      </c>
      <c r="V2" t="s">
        <v>0</v>
      </c>
      <c r="W2" t="s">
        <v>0</v>
      </c>
      <c r="X2" t="s">
        <v>0</v>
      </c>
      <c r="Y2" t="s">
        <v>0</v>
      </c>
      <c r="Z2" t="s">
        <v>0</v>
      </c>
      <c r="AA2" t="s">
        <v>0</v>
      </c>
      <c r="AB2" t="s">
        <v>0</v>
      </c>
    </row>
    <row r="3" spans="1:48" x14ac:dyDescent="0.25">
      <c r="A3" t="s">
        <v>0</v>
      </c>
      <c r="B3" t="s">
        <v>0</v>
      </c>
      <c r="C3" s="17" t="s">
        <v>5</v>
      </c>
      <c r="D3" s="17"/>
      <c r="E3" s="17"/>
      <c r="F3" s="17"/>
      <c r="G3" t="s">
        <v>0</v>
      </c>
      <c r="H3" t="s">
        <v>0</v>
      </c>
      <c r="I3" t="s">
        <v>0</v>
      </c>
      <c r="J3" t="s">
        <v>0</v>
      </c>
      <c r="K3" t="s">
        <v>0</v>
      </c>
      <c r="L3" t="s">
        <v>0</v>
      </c>
      <c r="M3" t="s">
        <v>0</v>
      </c>
      <c r="N3" t="s">
        <v>0</v>
      </c>
      <c r="O3" t="s">
        <v>0</v>
      </c>
      <c r="P3" t="s">
        <v>0</v>
      </c>
      <c r="Q3" t="s">
        <v>0</v>
      </c>
      <c r="R3" t="s">
        <v>0</v>
      </c>
      <c r="S3" t="s">
        <v>0</v>
      </c>
      <c r="T3" t="s">
        <v>0</v>
      </c>
      <c r="U3" t="s">
        <v>0</v>
      </c>
      <c r="V3" t="s">
        <v>0</v>
      </c>
      <c r="W3" t="s">
        <v>0</v>
      </c>
      <c r="X3" t="s">
        <v>0</v>
      </c>
      <c r="Y3" t="s">
        <v>0</v>
      </c>
      <c r="Z3" t="s">
        <v>0</v>
      </c>
      <c r="AA3" t="s">
        <v>0</v>
      </c>
      <c r="AB3" t="s">
        <v>0</v>
      </c>
    </row>
    <row r="4" spans="1:48" x14ac:dyDescent="0.25">
      <c r="A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</row>
    <row r="5" spans="1:48" ht="18.75" x14ac:dyDescent="0.25">
      <c r="A5" s="1" t="s">
        <v>0</v>
      </c>
      <c r="B5" s="2" t="s">
        <v>0</v>
      </c>
      <c r="C5" s="2" t="s">
        <v>7</v>
      </c>
      <c r="D5" s="2" t="s">
        <v>6</v>
      </c>
      <c r="E5" s="16" t="s">
        <v>14</v>
      </c>
      <c r="F5" s="16"/>
      <c r="G5" s="16"/>
      <c r="H5" s="18" t="s">
        <v>17</v>
      </c>
      <c r="I5" s="18"/>
      <c r="J5" s="18"/>
      <c r="K5" s="18"/>
      <c r="L5" s="18"/>
      <c r="M5" s="16" t="s">
        <v>121</v>
      </c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2" t="s">
        <v>8</v>
      </c>
      <c r="AB5" s="2" t="s">
        <v>9</v>
      </c>
      <c r="AC5" s="2" t="s">
        <v>0</v>
      </c>
      <c r="AD5" s="2" t="s">
        <v>10</v>
      </c>
      <c r="AE5" s="2" t="s">
        <v>11</v>
      </c>
      <c r="AF5" s="2" t="s">
        <v>12</v>
      </c>
      <c r="AG5" s="2" t="s">
        <v>0</v>
      </c>
      <c r="AH5" s="2"/>
      <c r="AI5" s="2"/>
      <c r="AJ5" s="2"/>
      <c r="AK5" s="3"/>
    </row>
    <row r="6" spans="1:48" ht="18.75" x14ac:dyDescent="0.25">
      <c r="A6" s="4" t="s">
        <v>7</v>
      </c>
      <c r="B6" s="19" t="s">
        <v>13</v>
      </c>
      <c r="C6" s="19" t="s">
        <v>16</v>
      </c>
      <c r="D6" s="19" t="s">
        <v>15</v>
      </c>
      <c r="E6" s="19" t="s">
        <v>30</v>
      </c>
      <c r="F6" s="19" t="s">
        <v>31</v>
      </c>
      <c r="G6" s="19" t="s">
        <v>32</v>
      </c>
      <c r="H6" s="19" t="s">
        <v>33</v>
      </c>
      <c r="I6" s="19" t="s">
        <v>30</v>
      </c>
      <c r="J6" s="19" t="s">
        <v>31</v>
      </c>
      <c r="K6" s="19" t="s">
        <v>34</v>
      </c>
      <c r="L6" s="19" t="s">
        <v>35</v>
      </c>
      <c r="M6" s="19" t="s">
        <v>108</v>
      </c>
      <c r="N6" s="19" t="s">
        <v>109</v>
      </c>
      <c r="O6" s="19" t="s">
        <v>110</v>
      </c>
      <c r="P6" s="19" t="s">
        <v>18</v>
      </c>
      <c r="Q6" s="19" t="s">
        <v>19</v>
      </c>
      <c r="R6" s="19" t="s">
        <v>20</v>
      </c>
      <c r="S6" s="19" t="s">
        <v>21</v>
      </c>
      <c r="T6" s="19" t="s">
        <v>22</v>
      </c>
      <c r="U6" s="19" t="s">
        <v>23</v>
      </c>
      <c r="V6" s="19" t="s">
        <v>24</v>
      </c>
      <c r="W6" s="19" t="s">
        <v>25</v>
      </c>
      <c r="X6" s="19" t="s">
        <v>26</v>
      </c>
      <c r="Y6" s="19" t="s">
        <v>27</v>
      </c>
      <c r="Z6" s="19" t="s">
        <v>28</v>
      </c>
      <c r="AA6" s="19" t="s">
        <v>36</v>
      </c>
      <c r="AB6" s="19" t="s">
        <v>13</v>
      </c>
      <c r="AC6" s="19" t="s">
        <v>29</v>
      </c>
      <c r="AD6" s="19" t="s">
        <v>37</v>
      </c>
      <c r="AE6" s="19" t="s">
        <v>38</v>
      </c>
      <c r="AF6" s="19" t="s">
        <v>39</v>
      </c>
      <c r="AG6" s="19" t="s">
        <v>40</v>
      </c>
      <c r="AH6" s="19" t="s">
        <v>41</v>
      </c>
      <c r="AI6" s="19" t="s">
        <v>122</v>
      </c>
      <c r="AJ6" s="19" t="s">
        <v>123</v>
      </c>
      <c r="AK6" s="9" t="s">
        <v>124</v>
      </c>
      <c r="AL6" t="s">
        <v>125</v>
      </c>
      <c r="AM6" t="s">
        <v>122</v>
      </c>
      <c r="AN6" t="s">
        <v>0</v>
      </c>
    </row>
    <row r="7" spans="1:48" x14ac:dyDescent="0.25">
      <c r="A7" s="6">
        <v>1</v>
      </c>
      <c r="B7" s="6" t="s">
        <v>42</v>
      </c>
      <c r="C7" s="6" t="s">
        <v>126</v>
      </c>
      <c r="D7" s="6" t="s">
        <v>127</v>
      </c>
      <c r="E7" s="6" t="s">
        <v>128</v>
      </c>
      <c r="F7" s="6" t="s">
        <v>129</v>
      </c>
      <c r="G7" s="6" t="s">
        <v>130</v>
      </c>
      <c r="H7" s="6" t="s">
        <v>131</v>
      </c>
      <c r="I7" s="6" t="s">
        <v>132</v>
      </c>
      <c r="J7" s="6" t="s">
        <v>133</v>
      </c>
      <c r="K7" s="6" t="s">
        <v>82</v>
      </c>
      <c r="L7" s="6" t="s">
        <v>73</v>
      </c>
      <c r="M7" s="6" t="s">
        <v>119</v>
      </c>
      <c r="N7" s="6" t="s">
        <v>0</v>
      </c>
      <c r="O7" s="8">
        <v>2135.5049999999997</v>
      </c>
      <c r="P7" s="6" t="s">
        <v>0</v>
      </c>
      <c r="Q7" s="6" t="s">
        <v>0</v>
      </c>
      <c r="R7" s="6" t="s">
        <v>0</v>
      </c>
      <c r="S7" s="6" t="s">
        <v>0</v>
      </c>
      <c r="T7" s="6" t="s">
        <v>0</v>
      </c>
      <c r="U7" s="6" t="s">
        <v>0</v>
      </c>
      <c r="V7" s="6" t="s">
        <v>0</v>
      </c>
      <c r="W7" s="6" t="s">
        <v>0</v>
      </c>
      <c r="X7" s="6" t="s">
        <v>0</v>
      </c>
      <c r="Y7" s="6" t="s">
        <v>0</v>
      </c>
      <c r="Z7" s="6" t="s">
        <v>0</v>
      </c>
      <c r="AA7" s="6" t="s">
        <v>134</v>
      </c>
      <c r="AB7" s="6" t="s">
        <v>42</v>
      </c>
      <c r="AC7" s="6" t="s">
        <v>135</v>
      </c>
      <c r="AD7" s="6"/>
      <c r="AE7" s="6" t="s">
        <v>0</v>
      </c>
      <c r="AF7" s="6" t="s">
        <v>0</v>
      </c>
      <c r="AG7" s="8">
        <v>42.710099999999997</v>
      </c>
      <c r="AH7" s="6"/>
      <c r="AI7" s="6"/>
      <c r="AJ7" s="6"/>
      <c r="AK7" s="6"/>
      <c r="AO7" s="12">
        <v>75</v>
      </c>
      <c r="AP7" s="12">
        <v>0</v>
      </c>
      <c r="AQ7" s="12">
        <v>0</v>
      </c>
      <c r="AR7" s="12">
        <v>0</v>
      </c>
      <c r="AS7" s="12">
        <v>0</v>
      </c>
      <c r="AT7" s="12">
        <v>0</v>
      </c>
      <c r="AU7" s="12">
        <v>75</v>
      </c>
      <c r="AV7" s="12">
        <v>0</v>
      </c>
    </row>
    <row r="8" spans="1:48" ht="30" x14ac:dyDescent="0.25">
      <c r="A8" s="6">
        <v>2</v>
      </c>
      <c r="B8" s="6" t="s">
        <v>42</v>
      </c>
      <c r="C8" s="6" t="s">
        <v>111</v>
      </c>
      <c r="D8" s="6" t="s">
        <v>112</v>
      </c>
      <c r="E8" s="6" t="s">
        <v>113</v>
      </c>
      <c r="F8" s="6" t="s">
        <v>114</v>
      </c>
      <c r="G8" s="13" t="s">
        <v>115</v>
      </c>
      <c r="H8" s="6" t="s">
        <v>116</v>
      </c>
      <c r="I8" s="6" t="s">
        <v>117</v>
      </c>
      <c r="J8" s="6" t="s">
        <v>118</v>
      </c>
      <c r="K8" s="6" t="s">
        <v>51</v>
      </c>
      <c r="L8" s="6" t="s">
        <v>52</v>
      </c>
      <c r="M8" s="6" t="s">
        <v>119</v>
      </c>
      <c r="N8" s="6" t="s">
        <v>0</v>
      </c>
      <c r="O8" s="6" t="s">
        <v>0</v>
      </c>
      <c r="P8" s="8">
        <v>2135.5049999999997</v>
      </c>
      <c r="Q8" s="6" t="s">
        <v>0</v>
      </c>
      <c r="R8" s="6" t="s">
        <v>0</v>
      </c>
      <c r="S8" s="6" t="s">
        <v>0</v>
      </c>
      <c r="T8" s="6" t="s">
        <v>0</v>
      </c>
      <c r="U8" s="6" t="s">
        <v>0</v>
      </c>
      <c r="V8" s="6" t="s">
        <v>0</v>
      </c>
      <c r="W8" s="6" t="s">
        <v>0</v>
      </c>
      <c r="X8" s="6" t="s">
        <v>0</v>
      </c>
      <c r="Y8" s="6" t="s">
        <v>0</v>
      </c>
      <c r="Z8" s="6" t="s">
        <v>0</v>
      </c>
      <c r="AA8" s="6" t="s">
        <v>136</v>
      </c>
      <c r="AB8" s="6" t="s">
        <v>137</v>
      </c>
      <c r="AC8" s="6" t="s">
        <v>138</v>
      </c>
      <c r="AD8" s="6"/>
      <c r="AE8" s="6" t="s">
        <v>0</v>
      </c>
      <c r="AF8" s="6" t="s">
        <v>0</v>
      </c>
      <c r="AG8" s="8">
        <v>42.710099999999997</v>
      </c>
      <c r="AH8" s="6"/>
      <c r="AI8" s="6"/>
      <c r="AJ8" s="6"/>
      <c r="AK8" s="6"/>
      <c r="AO8" s="12">
        <v>50</v>
      </c>
      <c r="AP8" s="12">
        <v>0</v>
      </c>
      <c r="AQ8" s="12">
        <v>0</v>
      </c>
      <c r="AR8" s="12">
        <v>0</v>
      </c>
      <c r="AS8" s="12">
        <v>0</v>
      </c>
      <c r="AT8" s="12">
        <v>0</v>
      </c>
      <c r="AU8" s="12">
        <v>0</v>
      </c>
      <c r="AV8" s="12">
        <v>50</v>
      </c>
    </row>
    <row r="9" spans="1:48" x14ac:dyDescent="0.25">
      <c r="A9" s="6">
        <v>3</v>
      </c>
      <c r="B9" s="6" t="s">
        <v>42</v>
      </c>
      <c r="C9" s="6" t="s">
        <v>43</v>
      </c>
      <c r="D9" s="6" t="s">
        <v>44</v>
      </c>
      <c r="E9" s="6" t="s">
        <v>45</v>
      </c>
      <c r="F9" s="6" t="s">
        <v>46</v>
      </c>
      <c r="G9" s="6" t="s">
        <v>47</v>
      </c>
      <c r="H9" s="6" t="s">
        <v>48</v>
      </c>
      <c r="I9" s="6" t="s">
        <v>49</v>
      </c>
      <c r="J9" s="6" t="s">
        <v>50</v>
      </c>
      <c r="K9" s="6" t="s">
        <v>51</v>
      </c>
      <c r="L9" s="6" t="s">
        <v>52</v>
      </c>
      <c r="M9" s="6" t="s">
        <v>119</v>
      </c>
      <c r="N9" s="6" t="s">
        <v>0</v>
      </c>
      <c r="O9" s="6" t="s">
        <v>0</v>
      </c>
      <c r="P9" s="8">
        <v>2052.145</v>
      </c>
      <c r="Q9" s="8">
        <v>2052.145</v>
      </c>
      <c r="R9" s="6" t="s">
        <v>0</v>
      </c>
      <c r="S9" s="6" t="s">
        <v>0</v>
      </c>
      <c r="T9" s="6" t="s">
        <v>0</v>
      </c>
      <c r="U9" s="6" t="s">
        <v>0</v>
      </c>
      <c r="V9" s="6" t="s">
        <v>0</v>
      </c>
      <c r="W9" s="6" t="s">
        <v>0</v>
      </c>
      <c r="X9" s="6" t="s">
        <v>0</v>
      </c>
      <c r="Y9" s="6" t="s">
        <v>0</v>
      </c>
      <c r="Z9" s="6" t="s">
        <v>0</v>
      </c>
      <c r="AA9" s="6" t="s">
        <v>136</v>
      </c>
      <c r="AB9" s="6" t="s">
        <v>42</v>
      </c>
      <c r="AC9" s="6" t="s">
        <v>139</v>
      </c>
      <c r="AD9" s="6"/>
      <c r="AE9" s="6" t="s">
        <v>0</v>
      </c>
      <c r="AF9" s="6" t="s">
        <v>0</v>
      </c>
      <c r="AG9" s="8">
        <v>41.042900000000003</v>
      </c>
      <c r="AH9" s="6"/>
      <c r="AI9" s="6"/>
      <c r="AJ9" s="6"/>
      <c r="AK9" s="6"/>
      <c r="AO9" s="12">
        <v>100</v>
      </c>
      <c r="AP9" s="12">
        <v>0</v>
      </c>
      <c r="AQ9" s="12">
        <v>0</v>
      </c>
      <c r="AR9" s="12">
        <v>0</v>
      </c>
      <c r="AS9" s="12">
        <v>0</v>
      </c>
      <c r="AT9" s="12">
        <v>0</v>
      </c>
      <c r="AU9" s="12">
        <v>0</v>
      </c>
      <c r="AV9" s="12">
        <v>100</v>
      </c>
    </row>
    <row r="10" spans="1:48" x14ac:dyDescent="0.25">
      <c r="A10" s="6">
        <v>4</v>
      </c>
      <c r="B10" s="6" t="s">
        <v>42</v>
      </c>
      <c r="C10" s="6" t="s">
        <v>53</v>
      </c>
      <c r="D10" s="6" t="s">
        <v>54</v>
      </c>
      <c r="E10" s="6" t="s">
        <v>55</v>
      </c>
      <c r="F10" s="6" t="s">
        <v>56</v>
      </c>
      <c r="G10" s="6" t="s">
        <v>57</v>
      </c>
      <c r="H10" s="6" t="s">
        <v>58</v>
      </c>
      <c r="I10" s="6" t="s">
        <v>59</v>
      </c>
      <c r="J10" s="6" t="s">
        <v>60</v>
      </c>
      <c r="K10" s="6" t="s">
        <v>51</v>
      </c>
      <c r="L10" s="6" t="s">
        <v>52</v>
      </c>
      <c r="M10" s="6" t="s">
        <v>119</v>
      </c>
      <c r="N10" s="6" t="s">
        <v>0</v>
      </c>
      <c r="O10" s="6" t="s">
        <v>0</v>
      </c>
      <c r="P10" s="8">
        <v>2052.145</v>
      </c>
      <c r="Q10" s="6" t="s">
        <v>0</v>
      </c>
      <c r="R10" s="6" t="s">
        <v>0</v>
      </c>
      <c r="S10" s="6" t="s">
        <v>0</v>
      </c>
      <c r="T10" s="6" t="s">
        <v>0</v>
      </c>
      <c r="U10" s="6" t="s">
        <v>0</v>
      </c>
      <c r="V10" s="6" t="s">
        <v>0</v>
      </c>
      <c r="W10" s="6" t="s">
        <v>0</v>
      </c>
      <c r="X10" s="6" t="s">
        <v>0</v>
      </c>
      <c r="Y10" s="6" t="s">
        <v>0</v>
      </c>
      <c r="Z10" s="6" t="s">
        <v>0</v>
      </c>
      <c r="AA10" s="6" t="s">
        <v>140</v>
      </c>
      <c r="AB10" s="6" t="s">
        <v>141</v>
      </c>
      <c r="AC10" s="6" t="s">
        <v>142</v>
      </c>
      <c r="AD10" s="6"/>
      <c r="AE10" s="6" t="s">
        <v>143</v>
      </c>
      <c r="AF10" s="6" t="s">
        <v>143</v>
      </c>
      <c r="AG10" s="8">
        <v>41.042900000000003</v>
      </c>
      <c r="AH10" s="6"/>
      <c r="AI10" s="6"/>
      <c r="AJ10" s="6"/>
      <c r="AK10" s="6"/>
      <c r="AO10" s="12">
        <v>0</v>
      </c>
      <c r="AP10" s="12">
        <v>0</v>
      </c>
      <c r="AQ10" s="12">
        <v>4200</v>
      </c>
      <c r="AR10" s="12">
        <v>0</v>
      </c>
      <c r="AS10" s="12">
        <v>0</v>
      </c>
      <c r="AT10" s="12">
        <v>0</v>
      </c>
      <c r="AU10" s="12">
        <v>0</v>
      </c>
      <c r="AV10" s="12">
        <v>0</v>
      </c>
    </row>
    <row r="11" spans="1:48" x14ac:dyDescent="0.25">
      <c r="A11" s="6">
        <v>5</v>
      </c>
      <c r="B11" s="6" t="s">
        <v>42</v>
      </c>
      <c r="C11" s="6" t="s">
        <v>53</v>
      </c>
      <c r="D11" s="6" t="s">
        <v>54</v>
      </c>
      <c r="E11" s="6" t="s">
        <v>55</v>
      </c>
      <c r="F11" s="6" t="s">
        <v>56</v>
      </c>
      <c r="G11" s="6" t="s">
        <v>57</v>
      </c>
      <c r="H11" s="6" t="s">
        <v>61</v>
      </c>
      <c r="I11" s="6" t="s">
        <v>62</v>
      </c>
      <c r="J11" s="6" t="s">
        <v>63</v>
      </c>
      <c r="K11" s="6" t="s">
        <v>64</v>
      </c>
      <c r="L11" s="6" t="s">
        <v>52</v>
      </c>
      <c r="M11" s="6" t="s">
        <v>119</v>
      </c>
      <c r="N11" s="6" t="s">
        <v>0</v>
      </c>
      <c r="O11" s="6" t="s">
        <v>0</v>
      </c>
      <c r="P11" s="8">
        <v>2052.145</v>
      </c>
      <c r="Q11" s="6" t="s">
        <v>0</v>
      </c>
      <c r="R11" s="6" t="s">
        <v>0</v>
      </c>
      <c r="S11" s="6" t="s">
        <v>0</v>
      </c>
      <c r="T11" s="6" t="s">
        <v>0</v>
      </c>
      <c r="U11" s="6" t="s">
        <v>0</v>
      </c>
      <c r="V11" s="6" t="s">
        <v>0</v>
      </c>
      <c r="W11" s="6" t="s">
        <v>0</v>
      </c>
      <c r="X11" s="6" t="s">
        <v>0</v>
      </c>
      <c r="Y11" s="6" t="s">
        <v>0</v>
      </c>
      <c r="Z11" s="6" t="s">
        <v>0</v>
      </c>
      <c r="AA11" s="6" t="s">
        <v>140</v>
      </c>
      <c r="AB11" s="6" t="s">
        <v>141</v>
      </c>
      <c r="AC11" s="6" t="s">
        <v>142</v>
      </c>
      <c r="AD11" s="6"/>
      <c r="AE11" s="6" t="s">
        <v>143</v>
      </c>
      <c r="AF11" s="6" t="s">
        <v>143</v>
      </c>
      <c r="AG11" s="8">
        <v>41.042900000000003</v>
      </c>
      <c r="AH11" s="6"/>
      <c r="AI11" s="6"/>
      <c r="AJ11" s="6"/>
      <c r="AK11" s="6"/>
      <c r="AO11" s="12">
        <v>0</v>
      </c>
      <c r="AP11" s="12">
        <v>0</v>
      </c>
      <c r="AQ11" s="12">
        <v>4200</v>
      </c>
      <c r="AR11" s="12">
        <v>0</v>
      </c>
      <c r="AS11" s="12">
        <v>0</v>
      </c>
      <c r="AT11" s="12">
        <v>0</v>
      </c>
      <c r="AU11" s="12">
        <v>0</v>
      </c>
      <c r="AV11" s="12">
        <v>0</v>
      </c>
    </row>
    <row r="12" spans="1:48" x14ac:dyDescent="0.25">
      <c r="A12" s="6">
        <v>6</v>
      </c>
      <c r="B12" s="6" t="s">
        <v>42</v>
      </c>
      <c r="C12" s="6" t="s">
        <v>65</v>
      </c>
      <c r="D12" s="6" t="s">
        <v>66</v>
      </c>
      <c r="E12" s="6" t="s">
        <v>67</v>
      </c>
      <c r="F12" s="6" t="s">
        <v>68</v>
      </c>
      <c r="G12" s="6" t="s">
        <v>69</v>
      </c>
      <c r="H12" s="6" t="s">
        <v>70</v>
      </c>
      <c r="I12" s="6" t="s">
        <v>71</v>
      </c>
      <c r="J12" s="6" t="s">
        <v>72</v>
      </c>
      <c r="K12" s="6" t="s">
        <v>64</v>
      </c>
      <c r="L12" s="6" t="s">
        <v>73</v>
      </c>
      <c r="M12" s="6" t="s">
        <v>119</v>
      </c>
      <c r="N12" s="6" t="s">
        <v>0</v>
      </c>
      <c r="O12" s="6" t="s">
        <v>0</v>
      </c>
      <c r="P12" s="8">
        <v>2120</v>
      </c>
      <c r="Q12" s="6" t="s">
        <v>0</v>
      </c>
      <c r="R12" s="6" t="s">
        <v>0</v>
      </c>
      <c r="S12" s="6" t="s">
        <v>0</v>
      </c>
      <c r="T12" s="6" t="s">
        <v>0</v>
      </c>
      <c r="U12" s="6" t="s">
        <v>0</v>
      </c>
      <c r="V12" s="6" t="s">
        <v>0</v>
      </c>
      <c r="W12" s="6" t="s">
        <v>0</v>
      </c>
      <c r="X12" s="6" t="s">
        <v>0</v>
      </c>
      <c r="Y12" s="6" t="s">
        <v>0</v>
      </c>
      <c r="Z12" s="6" t="s">
        <v>0</v>
      </c>
      <c r="AA12" s="6" t="s">
        <v>144</v>
      </c>
      <c r="AB12" s="6" t="s">
        <v>145</v>
      </c>
      <c r="AC12" s="6" t="s">
        <v>146</v>
      </c>
      <c r="AD12" s="6"/>
      <c r="AE12" s="6" t="s">
        <v>147</v>
      </c>
      <c r="AF12" s="6" t="s">
        <v>148</v>
      </c>
      <c r="AG12" s="8">
        <v>42.4</v>
      </c>
      <c r="AH12" s="6"/>
      <c r="AI12" s="6"/>
      <c r="AJ12" s="6"/>
      <c r="AK12" s="6"/>
      <c r="AO12" s="12">
        <v>0</v>
      </c>
      <c r="AP12" s="12">
        <v>0</v>
      </c>
      <c r="AQ12" s="12">
        <v>2120</v>
      </c>
      <c r="AR12" s="12">
        <v>0</v>
      </c>
      <c r="AS12" s="12">
        <v>0</v>
      </c>
      <c r="AT12" s="12">
        <v>0</v>
      </c>
      <c r="AU12" s="12">
        <v>0</v>
      </c>
      <c r="AV12" s="12">
        <v>0</v>
      </c>
    </row>
    <row r="13" spans="1:48" x14ac:dyDescent="0.25">
      <c r="A13" s="6">
        <v>7</v>
      </c>
      <c r="B13" s="6" t="s">
        <v>42</v>
      </c>
      <c r="C13" s="6" t="s">
        <v>74</v>
      </c>
      <c r="D13" s="6" t="s">
        <v>75</v>
      </c>
      <c r="E13" s="6" t="s">
        <v>76</v>
      </c>
      <c r="F13" s="6" t="s">
        <v>77</v>
      </c>
      <c r="G13" s="6" t="s">
        <v>78</v>
      </c>
      <c r="H13" s="6" t="s">
        <v>79</v>
      </c>
      <c r="I13" s="6" t="s">
        <v>80</v>
      </c>
      <c r="J13" s="6" t="s">
        <v>81</v>
      </c>
      <c r="K13" s="6" t="s">
        <v>82</v>
      </c>
      <c r="L13" s="6" t="s">
        <v>52</v>
      </c>
      <c r="M13" s="6" t="s">
        <v>119</v>
      </c>
      <c r="N13" s="6" t="s">
        <v>0</v>
      </c>
      <c r="O13" s="6" t="s">
        <v>0</v>
      </c>
      <c r="P13" s="8">
        <v>2111</v>
      </c>
      <c r="Q13" s="6" t="s">
        <v>0</v>
      </c>
      <c r="R13" s="6" t="s">
        <v>0</v>
      </c>
      <c r="S13" s="6" t="s">
        <v>0</v>
      </c>
      <c r="T13" s="6" t="s">
        <v>0</v>
      </c>
      <c r="U13" s="6" t="s">
        <v>0</v>
      </c>
      <c r="V13" s="6" t="s">
        <v>0</v>
      </c>
      <c r="W13" s="6" t="s">
        <v>0</v>
      </c>
      <c r="X13" s="6" t="s">
        <v>0</v>
      </c>
      <c r="Y13" s="6" t="s">
        <v>0</v>
      </c>
      <c r="Z13" s="6" t="s">
        <v>0</v>
      </c>
      <c r="AA13" s="6" t="s">
        <v>149</v>
      </c>
      <c r="AB13" s="6" t="s">
        <v>150</v>
      </c>
      <c r="AC13" s="6" t="s">
        <v>151</v>
      </c>
      <c r="AD13" s="6"/>
      <c r="AE13" s="6" t="s">
        <v>152</v>
      </c>
      <c r="AF13" s="6" t="s">
        <v>148</v>
      </c>
      <c r="AG13" s="8">
        <v>42.22</v>
      </c>
      <c r="AH13" s="6"/>
      <c r="AI13" s="6"/>
      <c r="AJ13" s="6"/>
      <c r="AK13" s="6"/>
      <c r="AO13" s="12">
        <v>0</v>
      </c>
      <c r="AP13" s="12">
        <v>0</v>
      </c>
      <c r="AQ13" s="12">
        <v>0</v>
      </c>
      <c r="AR13" s="12">
        <v>0</v>
      </c>
      <c r="AS13" s="12">
        <v>0</v>
      </c>
      <c r="AT13" s="12">
        <v>2111</v>
      </c>
      <c r="AU13" s="12">
        <v>0</v>
      </c>
      <c r="AV13" s="12">
        <v>0</v>
      </c>
    </row>
    <row r="14" spans="1:48" x14ac:dyDescent="0.25">
      <c r="A14" s="6">
        <v>8</v>
      </c>
      <c r="B14" s="6" t="s">
        <v>42</v>
      </c>
      <c r="C14" s="6" t="s">
        <v>83</v>
      </c>
      <c r="D14" s="6" t="s">
        <v>84</v>
      </c>
      <c r="E14" s="6" t="s">
        <v>85</v>
      </c>
      <c r="F14" s="6" t="s">
        <v>86</v>
      </c>
      <c r="G14" s="6" t="s">
        <v>87</v>
      </c>
      <c r="H14" s="6" t="s">
        <v>88</v>
      </c>
      <c r="I14" s="6" t="s">
        <v>89</v>
      </c>
      <c r="J14" s="6" t="s">
        <v>90</v>
      </c>
      <c r="K14" s="6" t="s">
        <v>64</v>
      </c>
      <c r="L14" s="6" t="s">
        <v>73</v>
      </c>
      <c r="M14" s="6" t="s">
        <v>120</v>
      </c>
      <c r="N14" s="6" t="s">
        <v>0</v>
      </c>
      <c r="O14" s="6" t="s">
        <v>0</v>
      </c>
      <c r="P14" s="6" t="s">
        <v>0</v>
      </c>
      <c r="Q14" s="6" t="s">
        <v>0</v>
      </c>
      <c r="R14" s="6" t="s">
        <v>0</v>
      </c>
      <c r="S14" s="6" t="s">
        <v>0</v>
      </c>
      <c r="T14" s="6" t="s">
        <v>0</v>
      </c>
      <c r="U14" s="6" t="s">
        <v>0</v>
      </c>
      <c r="V14" s="6" t="s">
        <v>0</v>
      </c>
      <c r="W14" s="6" t="s">
        <v>0</v>
      </c>
      <c r="X14" s="8">
        <v>1555.59</v>
      </c>
      <c r="Y14" s="6" t="s">
        <v>0</v>
      </c>
      <c r="Z14" s="6" t="s">
        <v>0</v>
      </c>
      <c r="AA14" s="6" t="s">
        <v>149</v>
      </c>
      <c r="AB14" s="6" t="s">
        <v>153</v>
      </c>
      <c r="AC14" s="6" t="s">
        <v>154</v>
      </c>
      <c r="AD14" s="6"/>
      <c r="AE14" s="6" t="s">
        <v>155</v>
      </c>
      <c r="AF14" s="6" t="s">
        <v>155</v>
      </c>
      <c r="AG14" s="8">
        <v>38.889749999999999</v>
      </c>
      <c r="AH14" s="6"/>
      <c r="AI14" s="6"/>
      <c r="AJ14" s="6"/>
      <c r="AK14" s="6"/>
      <c r="AO14" s="12">
        <v>0</v>
      </c>
      <c r="AP14" s="12">
        <v>0</v>
      </c>
      <c r="AQ14" s="12">
        <v>0</v>
      </c>
      <c r="AR14" s="12">
        <v>0</v>
      </c>
      <c r="AS14" s="12">
        <v>0</v>
      </c>
      <c r="AT14" s="12">
        <v>1555.2</v>
      </c>
      <c r="AU14" s="12">
        <v>0</v>
      </c>
      <c r="AV14" s="12">
        <v>0</v>
      </c>
    </row>
    <row r="15" spans="1:48" x14ac:dyDescent="0.25">
      <c r="A15" s="6">
        <v>9</v>
      </c>
      <c r="B15" s="6" t="s">
        <v>42</v>
      </c>
      <c r="C15" s="6" t="s">
        <v>91</v>
      </c>
      <c r="D15" s="6" t="s">
        <v>92</v>
      </c>
      <c r="E15" s="6" t="s">
        <v>93</v>
      </c>
      <c r="F15" s="6" t="s">
        <v>94</v>
      </c>
      <c r="G15" s="6" t="s">
        <v>95</v>
      </c>
      <c r="H15" s="6" t="s">
        <v>96</v>
      </c>
      <c r="I15" s="6" t="s">
        <v>97</v>
      </c>
      <c r="J15" s="6" t="s">
        <v>98</v>
      </c>
      <c r="K15" s="6" t="s">
        <v>64</v>
      </c>
      <c r="L15" s="6" t="s">
        <v>52</v>
      </c>
      <c r="M15" s="6" t="s">
        <v>119</v>
      </c>
      <c r="N15" s="6" t="s">
        <v>0</v>
      </c>
      <c r="O15" s="6" t="s">
        <v>0</v>
      </c>
      <c r="P15" s="8">
        <v>2135.5049999999997</v>
      </c>
      <c r="Q15" s="6" t="s">
        <v>0</v>
      </c>
      <c r="R15" s="6" t="s">
        <v>0</v>
      </c>
      <c r="S15" s="6" t="s">
        <v>0</v>
      </c>
      <c r="T15" s="6" t="s">
        <v>0</v>
      </c>
      <c r="U15" s="6" t="s">
        <v>0</v>
      </c>
      <c r="V15" s="6" t="s">
        <v>0</v>
      </c>
      <c r="W15" s="6" t="s">
        <v>0</v>
      </c>
      <c r="X15" s="6" t="s">
        <v>0</v>
      </c>
      <c r="Y15" s="6" t="s">
        <v>0</v>
      </c>
      <c r="Z15" s="6" t="s">
        <v>0</v>
      </c>
      <c r="AA15" s="6" t="s">
        <v>156</v>
      </c>
      <c r="AB15" s="6" t="s">
        <v>42</v>
      </c>
      <c r="AC15" s="6" t="s">
        <v>157</v>
      </c>
      <c r="AD15" s="6"/>
      <c r="AE15" s="6" t="s">
        <v>155</v>
      </c>
      <c r="AF15" s="6" t="s">
        <v>155</v>
      </c>
      <c r="AG15" s="8">
        <v>42.710099999999997</v>
      </c>
      <c r="AH15" s="6"/>
      <c r="AI15" s="6"/>
      <c r="AJ15" s="6"/>
      <c r="AK15" s="6"/>
      <c r="AO15" s="12">
        <v>0</v>
      </c>
      <c r="AP15" s="12">
        <v>0</v>
      </c>
      <c r="AQ15" s="12">
        <v>0</v>
      </c>
      <c r="AR15" s="12">
        <v>2135.5</v>
      </c>
      <c r="AS15" s="12">
        <v>0</v>
      </c>
      <c r="AT15" s="12">
        <v>0</v>
      </c>
      <c r="AU15" s="12">
        <v>0</v>
      </c>
      <c r="AV15" s="12">
        <v>0</v>
      </c>
    </row>
    <row r="16" spans="1:48" ht="15.75" thickBot="1" x14ac:dyDescent="0.3">
      <c r="A16" s="6">
        <v>10</v>
      </c>
      <c r="B16" s="6" t="s">
        <v>42</v>
      </c>
      <c r="C16" s="6" t="s">
        <v>99</v>
      </c>
      <c r="D16" s="6" t="s">
        <v>100</v>
      </c>
      <c r="E16" s="6" t="s">
        <v>101</v>
      </c>
      <c r="F16" s="6" t="s">
        <v>102</v>
      </c>
      <c r="G16" s="6" t="s">
        <v>103</v>
      </c>
      <c r="H16" s="6" t="s">
        <v>104</v>
      </c>
      <c r="I16" s="6" t="s">
        <v>105</v>
      </c>
      <c r="J16" s="6" t="s">
        <v>106</v>
      </c>
      <c r="K16" s="6" t="s">
        <v>107</v>
      </c>
      <c r="L16" s="6" t="s">
        <v>73</v>
      </c>
      <c r="M16" s="6" t="s">
        <v>119</v>
      </c>
      <c r="N16" s="5" t="s">
        <v>0</v>
      </c>
      <c r="O16" s="7">
        <v>2135.5049999999997</v>
      </c>
      <c r="P16" s="5" t="s">
        <v>0</v>
      </c>
      <c r="Q16" s="5" t="s">
        <v>0</v>
      </c>
      <c r="R16" s="5" t="s">
        <v>0</v>
      </c>
      <c r="S16" s="5" t="s">
        <v>0</v>
      </c>
      <c r="T16" s="5" t="s">
        <v>0</v>
      </c>
      <c r="U16" s="5" t="s">
        <v>0</v>
      </c>
      <c r="V16" s="5" t="s">
        <v>0</v>
      </c>
      <c r="W16" s="5" t="s">
        <v>0</v>
      </c>
      <c r="X16" s="5" t="s">
        <v>0</v>
      </c>
      <c r="Y16" s="5" t="s">
        <v>0</v>
      </c>
      <c r="Z16" s="5" t="s">
        <v>0</v>
      </c>
      <c r="AA16" s="6" t="s">
        <v>156</v>
      </c>
      <c r="AB16" s="6" t="s">
        <v>42</v>
      </c>
      <c r="AC16" s="6" t="s">
        <v>158</v>
      </c>
      <c r="AD16" s="5"/>
      <c r="AE16" s="6" t="s">
        <v>159</v>
      </c>
      <c r="AF16" s="6" t="s">
        <v>155</v>
      </c>
      <c r="AG16" s="8">
        <v>42.710099999999997</v>
      </c>
      <c r="AH16" s="6"/>
      <c r="AI16" s="6"/>
      <c r="AJ16" s="6"/>
      <c r="AK16" s="6"/>
      <c r="AO16" s="12">
        <v>0</v>
      </c>
      <c r="AP16" s="12">
        <v>0</v>
      </c>
      <c r="AQ16" s="12">
        <v>0</v>
      </c>
      <c r="AR16" s="12">
        <v>2135.5</v>
      </c>
      <c r="AS16" s="12">
        <v>0</v>
      </c>
      <c r="AT16" s="12">
        <v>0</v>
      </c>
      <c r="AU16" s="12">
        <v>0</v>
      </c>
      <c r="AV16" s="12">
        <v>0</v>
      </c>
    </row>
    <row r="17" spans="6:36" ht="15.75" thickBot="1" x14ac:dyDescent="0.3">
      <c r="N17" s="10">
        <f>SUM(N7,N8,N9,N10,N12,N13,N14,N15,N16)</f>
        <v>0</v>
      </c>
      <c r="O17" s="10">
        <f>SUM(O7,O8,O9,O10,O12,O13,O14,O15,O16)</f>
        <v>4271.0099999999993</v>
      </c>
      <c r="P17" s="10">
        <f>SUM(P7,P8,P9,P10,P12,P13,P14,P15,P16)</f>
        <v>12606.3</v>
      </c>
      <c r="Q17" s="10">
        <f>SUM(Q7,Q8,Q9,Q10,Q12,Q13,Q14,Q15,Q16)</f>
        <v>2052.145</v>
      </c>
      <c r="R17" s="10">
        <f>SUM(R7,R8,R9,R10,R12,R13,R14,R15,R16)</f>
        <v>0</v>
      </c>
      <c r="S17" s="10">
        <f>SUM(S7,S8,S9,S10,S12,S13,S14,S15,S16)</f>
        <v>0</v>
      </c>
      <c r="T17" s="10">
        <f>SUM(T7,T8,T9,T10,T12,T13,T14,T15,T16)</f>
        <v>0</v>
      </c>
      <c r="U17" s="10">
        <f>SUM(U7,U8,U9,U10,U12,U13,U14,U15,U16)</f>
        <v>0</v>
      </c>
      <c r="V17" s="10">
        <f>SUM(V7,V8,V9,V10,V12,V13,V14,V15,V16)</f>
        <v>0</v>
      </c>
      <c r="W17" s="10">
        <f>SUM(W7,W8,W9,W10,W12,W13,W14,W15,W16)</f>
        <v>0</v>
      </c>
      <c r="X17" s="10">
        <f>SUM(X7,X8,X9,X10,X12,X13,X14,X15,X16)</f>
        <v>1555.59</v>
      </c>
      <c r="Y17" s="10">
        <f>SUM(Y7,Y8,Y9,Y10,Y12,Y13,Y14,Y15,Y16)</f>
        <v>0</v>
      </c>
      <c r="Z17" s="11">
        <f>SUM(Z7,Z8,Z9,Z10,Z12,Z13,Z14,Z15,Z16)</f>
        <v>0</v>
      </c>
      <c r="AC17" s="14"/>
      <c r="AD17" s="11">
        <f>SUM(AD7,AD8,AD9,AD10,AD12,AD13,AD14,AD15,AD16)</f>
        <v>0</v>
      </c>
      <c r="AE17" s="15">
        <f t="shared" ref="AE17:AJ17" si="0">SUM(AE7,AE8,AE9,AE10,AE12,AE13,AE14,AE15,AE16)</f>
        <v>0</v>
      </c>
      <c r="AF17" s="15">
        <f t="shared" si="0"/>
        <v>0</v>
      </c>
      <c r="AG17" s="15">
        <f t="shared" si="0"/>
        <v>376.43595000000005</v>
      </c>
      <c r="AH17" s="15">
        <f t="shared" si="0"/>
        <v>0</v>
      </c>
      <c r="AI17" s="14">
        <f t="shared" si="0"/>
        <v>0</v>
      </c>
      <c r="AJ17" s="14">
        <f t="shared" si="0"/>
        <v>0</v>
      </c>
    </row>
    <row r="31" spans="6:36" x14ac:dyDescent="0.25">
      <c r="F31" s="12"/>
    </row>
  </sheetData>
  <mergeCells count="6">
    <mergeCell ref="M5:Z5"/>
    <mergeCell ref="C1:F1"/>
    <mergeCell ref="C3:F3"/>
    <mergeCell ref="C2:F2"/>
    <mergeCell ref="E5:G5"/>
    <mergeCell ref="H5:L5"/>
  </mergeCells>
  <conditionalFormatting sqref="A7:AC16">
    <cfRule type="expression" dxfId="2" priority="3">
      <formula>$E8=$E7</formula>
    </cfRule>
    <cfRule type="expression" dxfId="1" priority="2">
      <formula>$E8=$E7</formula>
    </cfRule>
    <cfRule type="expression" dxfId="0" priority="1">
      <formula>$E8=$E7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Yofredd Chirino</dc:creator>
  <cp:lastModifiedBy>Yofredd Chirino</cp:lastModifiedBy>
  <dcterms:created xsi:type="dcterms:W3CDTF">2024-03-19T13:56:39Z</dcterms:created>
  <dcterms:modified xsi:type="dcterms:W3CDTF">2024-11-01T17:12:07Z</dcterms:modified>
</cp:coreProperties>
</file>